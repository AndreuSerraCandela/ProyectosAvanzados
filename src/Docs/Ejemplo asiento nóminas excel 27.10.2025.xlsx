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\\192.168.10.2\personales\Susana Cardenas\AF Films\ERP\MayBe Cloud - Navision\"/>
    </mc:Choice>
  </mc:AlternateContent>
  <xr:revisionPtr revIDLastSave="0" documentId="14_{3F6B6749-CE85-4E34-AB28-4F2F00FBCF90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1" sheetId="3" r:id="rId1"/>
    <sheet name="3" sheetId="5" r:id="rId2"/>
    <sheet name="5" sheetId="7" r:id="rId3"/>
    <sheet name="7" sheetId="9" r:id="rId4"/>
  </sheets>
  <definedNames>
    <definedName name="_xlnm.Print_Area" localSheetId="0">'1'!$A$1:$Z$9</definedName>
    <definedName name="_xlnm.Print_Area" localSheetId="1">'3'!$A$1:$AK$13</definedName>
    <definedName name="_xlnm.Print_Area" localSheetId="2">'5'!$A$1:$AJ$12</definedName>
    <definedName name="_xlnm.Print_Area" localSheetId="3">'7'!$A$1:$AJ$9</definedName>
    <definedName name="_xlnm.Print_Titles" localSheetId="0">'1'!$A:$C</definedName>
    <definedName name="_xlnm.Print_Titles" localSheetId="1">'3'!$A:$C</definedName>
    <definedName name="_xlnm.Print_Titles" localSheetId="2">'5'!$A:$C</definedName>
    <definedName name="_xlnm.Print_Titles" localSheetId="3">'7'!$A:$C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9" l="1"/>
  <c r="L9" i="9"/>
  <c r="Q12" i="7"/>
  <c r="L12" i="7"/>
  <c r="R12" i="7" s="1"/>
  <c r="Q11" i="7"/>
  <c r="L11" i="7"/>
  <c r="R11" i="7" s="1"/>
  <c r="Q10" i="7"/>
  <c r="L10" i="7"/>
  <c r="R10" i="7" s="1"/>
  <c r="Q9" i="7"/>
  <c r="L9" i="7"/>
  <c r="R13" i="5"/>
  <c r="L13" i="5"/>
  <c r="S13" i="5" s="1"/>
  <c r="R12" i="5"/>
  <c r="L12" i="5"/>
  <c r="S12" i="5" s="1"/>
  <c r="R11" i="5"/>
  <c r="L11" i="5"/>
  <c r="S11" i="5" s="1"/>
  <c r="R10" i="5"/>
  <c r="L10" i="5"/>
  <c r="S10" i="5" s="1"/>
  <c r="R9" i="5"/>
  <c r="L9" i="5"/>
  <c r="G9" i="3"/>
  <c r="E9" i="3"/>
  <c r="H9" i="3" l="1"/>
  <c r="S9" i="5"/>
  <c r="R9" i="7"/>
  <c r="R9" i="9"/>
</calcChain>
</file>

<file path=xl/sharedStrings.xml><?xml version="1.0" encoding="utf-8"?>
<sst xmlns="http://schemas.openxmlformats.org/spreadsheetml/2006/main" count="169" uniqueCount="66">
  <si>
    <t>Moneda: Euro</t>
  </si>
  <si>
    <t>PAGA        MENSUAL</t>
  </si>
  <si>
    <t>DEL 01/09/25 AL 30/09/25</t>
  </si>
  <si>
    <t>Empresa:    39-MATCH POINT ENTERTAINMENT, SL NIF: B56957160</t>
  </si>
  <si>
    <t>TRABAJADOR</t>
  </si>
  <si>
    <t>NIVEL 4           03         DIRECTIVO</t>
  </si>
  <si>
    <t>000084</t>
  </si>
  <si>
    <t>VEGA MENDIVIL MANUEL</t>
  </si>
  <si>
    <t>0001 Sal.Base</t>
  </si>
  <si>
    <t>TOT. BRUTO</t>
  </si>
  <si>
    <t>0999-TRI.IRPF</t>
  </si>
  <si>
    <t>TOT.DEDUC.</t>
  </si>
  <si>
    <t>TOTAL.LIQ.</t>
  </si>
  <si>
    <t>P.P.EXTRAS</t>
  </si>
  <si>
    <t>SS EMPRESA</t>
  </si>
  <si>
    <t>SS TRAB.</t>
  </si>
  <si>
    <t>SS TOTAL.</t>
  </si>
  <si>
    <t>C.COL.VOL.</t>
  </si>
  <si>
    <t>APORTA.SC</t>
  </si>
  <si>
    <t>COSTE EMP.</t>
  </si>
  <si>
    <t>BASE CC</t>
  </si>
  <si>
    <t>BASE ACC.</t>
  </si>
  <si>
    <t>B.IRPF DIN</t>
  </si>
  <si>
    <t>B.IRPF ESP</t>
  </si>
  <si>
    <t>B.IRPF IRR</t>
  </si>
  <si>
    <t>HE NORMAL</t>
  </si>
  <si>
    <t>HE ESTRUC.</t>
  </si>
  <si>
    <t>H.PRESEN.</t>
  </si>
  <si>
    <t>D.DES.PARC</t>
  </si>
  <si>
    <t>IMP BONIF.</t>
  </si>
  <si>
    <t>DIAS COT.</t>
  </si>
  <si>
    <t>NIVEL 4           04         LA SILLA</t>
  </si>
  <si>
    <t>009030</t>
  </si>
  <si>
    <t>CORNEJO BAUER PATRICIA</t>
  </si>
  <si>
    <t>009035</t>
  </si>
  <si>
    <t>DE PAZ SANCHEZ IVAN</t>
  </si>
  <si>
    <t>000085</t>
  </si>
  <si>
    <t>DIAZ MORENO JUAN</t>
  </si>
  <si>
    <t>009010</t>
  </si>
  <si>
    <t>GALARZA FLORES, MARTIN</t>
  </si>
  <si>
    <t>000091</t>
  </si>
  <si>
    <t>GARCIA PEREA, MIGUEL ANGEL</t>
  </si>
  <si>
    <t>0030 P.P.Ex</t>
  </si>
  <si>
    <t>0038 MEJORA V</t>
  </si>
  <si>
    <t>0140 COMIDA</t>
  </si>
  <si>
    <t>0209 DIETAS (</t>
  </si>
  <si>
    <t>0211 P.P Vaca</t>
  </si>
  <si>
    <t>0321 PL. FLEX</t>
  </si>
  <si>
    <t>0599 Indemni.</t>
  </si>
  <si>
    <t>0795-Ant.diet</t>
  </si>
  <si>
    <t>0995-COTIZ.CC</t>
  </si>
  <si>
    <t>0996-COTIZ.FP</t>
  </si>
  <si>
    <t>0997-COTIZ.DE</t>
  </si>
  <si>
    <t>NIVEL 4           06         COOL BOOKS</t>
  </si>
  <si>
    <t>009032</t>
  </si>
  <si>
    <t>GUZMAN DEL TORO JUA CARLOS</t>
  </si>
  <si>
    <t>009031</t>
  </si>
  <si>
    <t>LOPEZ MARTIN DE VIDALES DAVID</t>
  </si>
  <si>
    <t>009033</t>
  </si>
  <si>
    <t>PERERA VIERA LAURA MARIA</t>
  </si>
  <si>
    <t>009025</t>
  </si>
  <si>
    <t>SANCHEZ AGULLO SERGIO</t>
  </si>
  <si>
    <t>0635 KILOM. E</t>
  </si>
  <si>
    <t>NIVEL 4           07         EL MAL HIJO</t>
  </si>
  <si>
    <t>009034</t>
  </si>
  <si>
    <t>VASQUEZ RUIZ JUAN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</si>
</sst>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;"/>
    <numFmt numFmtId="165" formatCode="#,###,##0.00;\-#,###,##0.00;"/>
  </numFmts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4F3"/>
        <bgColor indexed="64"/>
      </patternFill>
    </fill>
  </fills>
  <borders count="2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5" xfId="0" applyNumberFormat="1" applyFont="1" applyBorder="1"/>
    <xf numFmtId="0" fontId="2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2" fillId="2" borderId="9" xfId="0" applyFont="1" applyFill="1" applyBorder="1"/>
    <xf numFmtId="0" fontId="2" fillId="0" borderId="4" xfId="0" applyFont="1" applyBorder="1"/>
    <xf numFmtId="0" fontId="2" fillId="2" borderId="10" xfId="0" applyFont="1" applyFill="1" applyBorder="1"/>
    <xf numFmtId="0" fontId="1" fillId="0" borderId="11" xfId="0" applyFont="1" applyBorder="1"/>
    <xf numFmtId="165" fontId="1" fillId="0" borderId="12" xfId="0" applyNumberFormat="1" applyFont="1" applyBorder="1"/>
    <xf numFmtId="0" fontId="2" fillId="2" borderId="13" xfId="0" applyFont="1" applyFill="1" applyBorder="1"/>
    <xf numFmtId="0" fontId="1" fillId="0" borderId="14" xfId="0" applyFont="1" applyBorder="1"/>
    <xf numFmtId="165" fontId="1" fillId="0" borderId="15" xfId="0" applyNumberFormat="1" applyFont="1" applyBorder="1"/>
    <xf numFmtId="164" fontId="1" fillId="0" borderId="15" xfId="0" applyNumberFormat="1" applyFont="1" applyBorder="1"/>
    <xf numFmtId="0" fontId="2" fillId="3" borderId="13" xfId="0" applyFont="1" applyFill="1" applyBorder="1"/>
    <xf numFmtId="0" fontId="1" fillId="4" borderId="14" xfId="0" applyFont="1" applyFill="1" applyBorder="1"/>
    <xf numFmtId="165" fontId="1" fillId="4" borderId="15" xfId="0" applyNumberFormat="1" applyFont="1" applyFill="1" applyBorder="1"/>
    <xf numFmtId="0" fontId="2" fillId="5" borderId="13" xfId="0" applyFont="1" applyFill="1" applyBorder="1"/>
    <xf numFmtId="0" fontId="1" fillId="6" borderId="14" xfId="0" applyFont="1" applyFill="1" applyBorder="1"/>
    <xf numFmtId="165" fontId="1" fillId="6" borderId="15" xfId="0" applyNumberFormat="1" applyFont="1" applyFill="1" applyBorder="1"/>
    <xf numFmtId="0" fontId="1" fillId="0" borderId="16" xfId="0" applyFont="1" applyBorder="1"/>
    <xf numFmtId="164" fontId="1" fillId="0" borderId="18" xfId="0" applyNumberFormat="1" applyFont="1" applyBorder="1"/>
    <xf numFmtId="0" fontId="2" fillId="0" borderId="17" xfId="0" applyFont="1" applyBorder="1" applyAlignment="1">
      <alignment horizontal="left"/>
    </xf>
    <xf numFmtId="0" fontId="2" fillId="0" borderId="18" xfId="0" quotePrefix="1" applyFont="1" applyBorder="1" applyAlignment="1">
      <alignment horizontal="left"/>
    </xf>
    <xf numFmtId="165" fontId="1" fillId="0" borderId="19" xfId="0" applyNumberFormat="1" applyFont="1" applyBorder="1"/>
    <xf numFmtId="165" fontId="1" fillId="0" borderId="20" xfId="0" applyNumberFormat="1" applyFont="1" applyBorder="1"/>
    <xf numFmtId="164" fontId="1" fillId="0" borderId="20" xfId="0" applyNumberFormat="1" applyFont="1" applyBorder="1"/>
    <xf numFmtId="165" fontId="1" fillId="4" borderId="20" xfId="0" applyNumberFormat="1" applyFont="1" applyFill="1" applyBorder="1"/>
    <xf numFmtId="165" fontId="1" fillId="6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DA3A-08D3-4C56-ABE9-A25EB7B38330}">
  <sheetPr>
    <pageSetUpPr fitToPage="1"/>
  </sheetPr>
  <dimension ref="A1:Z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9.1328125" defaultRowHeight="12" customHeight="1" x14ac:dyDescent="0.45"/>
  <cols>
    <col min="1" max="1" width="1.73046875" customWidth="1"/>
    <col min="2" max="2" width="12.73046875" customWidth="1"/>
    <col min="3" max="3" width="56.73046875" customWidth="1"/>
    <col min="4" max="26" width="14.73046875" customWidth="1"/>
  </cols>
  <sheetData>
    <row r="1" spans="1:26" ht="12" customHeight="1" x14ac:dyDescent="0.45">
      <c r="A1" s="1" t="s">
        <v>0</v>
      </c>
      <c r="B1" s="2"/>
      <c r="C1" s="2"/>
    </row>
    <row r="2" spans="1:26" ht="12" customHeight="1" x14ac:dyDescent="0.45">
      <c r="A2" s="1" t="s">
        <v>1</v>
      </c>
      <c r="B2" s="2"/>
      <c r="C2" s="2"/>
      <c r="D2" t="s">
        <v>5</v>
      </c>
    </row>
    <row r="3" spans="1:26" ht="12" customHeight="1" x14ac:dyDescent="0.45">
      <c r="A3" s="1" t="s">
        <v>2</v>
      </c>
      <c r="B3" s="2"/>
      <c r="C3" s="2"/>
    </row>
    <row r="4" spans="1:26" ht="12" customHeight="1" x14ac:dyDescent="0.45">
      <c r="A4" s="1" t="s">
        <v>3</v>
      </c>
      <c r="B4" s="2"/>
      <c r="C4" s="2"/>
    </row>
    <row r="5" spans="1:26" ht="12" customHeight="1" x14ac:dyDescent="0.45">
      <c r="A5" s="1"/>
      <c r="B5" s="2"/>
      <c r="C5" s="2"/>
    </row>
    <row r="6" spans="1:26" ht="12" customHeight="1" thickBot="1" x14ac:dyDescent="0.5">
      <c r="A6" s="1"/>
      <c r="B6" s="2"/>
      <c r="C6" s="4"/>
    </row>
    <row r="7" spans="1:26" ht="12" customHeight="1" thickTop="1" thickBot="1" x14ac:dyDescent="0.5">
      <c r="A7" s="15"/>
      <c r="B7" s="5"/>
      <c r="C7" s="7" t="s">
        <v>4</v>
      </c>
      <c r="D7" s="16" t="s">
        <v>8</v>
      </c>
      <c r="E7" s="23" t="s">
        <v>9</v>
      </c>
      <c r="F7" s="19" t="s">
        <v>10</v>
      </c>
      <c r="G7" s="26" t="s">
        <v>11</v>
      </c>
      <c r="H7" s="19" t="s">
        <v>12</v>
      </c>
      <c r="I7" s="19" t="s">
        <v>13</v>
      </c>
      <c r="J7" s="19" t="s">
        <v>14</v>
      </c>
      <c r="K7" s="19" t="s">
        <v>15</v>
      </c>
      <c r="L7" s="19" t="s">
        <v>16</v>
      </c>
      <c r="M7" s="19" t="s">
        <v>17</v>
      </c>
      <c r="N7" s="19" t="s">
        <v>18</v>
      </c>
      <c r="O7" s="19" t="s">
        <v>19</v>
      </c>
      <c r="P7" s="19" t="s">
        <v>20</v>
      </c>
      <c r="Q7" s="19" t="s">
        <v>21</v>
      </c>
      <c r="R7" s="19" t="s">
        <v>22</v>
      </c>
      <c r="S7" s="19" t="s">
        <v>23</v>
      </c>
      <c r="T7" s="19" t="s">
        <v>24</v>
      </c>
      <c r="U7" s="19" t="s">
        <v>25</v>
      </c>
      <c r="V7" s="19" t="s">
        <v>26</v>
      </c>
      <c r="W7" s="19" t="s">
        <v>27</v>
      </c>
      <c r="X7" s="19" t="s">
        <v>28</v>
      </c>
      <c r="Y7" s="19" t="s">
        <v>29</v>
      </c>
      <c r="Z7" s="14" t="s">
        <v>30</v>
      </c>
    </row>
    <row r="8" spans="1:26" ht="12.95" customHeight="1" thickTop="1" x14ac:dyDescent="0.45">
      <c r="A8" s="10"/>
      <c r="B8" s="11"/>
      <c r="C8" s="8"/>
      <c r="D8" s="17"/>
      <c r="E8" s="24"/>
      <c r="F8" s="20"/>
      <c r="G8" s="27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3"/>
    </row>
    <row r="9" spans="1:26" ht="12.95" customHeight="1" thickBot="1" x14ac:dyDescent="0.5">
      <c r="A9" s="12"/>
      <c r="B9" s="13" t="s">
        <v>6</v>
      </c>
      <c r="C9" s="9" t="s">
        <v>7</v>
      </c>
      <c r="D9" s="18">
        <v>3076.92</v>
      </c>
      <c r="E9" s="25">
        <f>SUM(D9:D9)</f>
        <v>3076.92</v>
      </c>
      <c r="F9" s="21">
        <v>1076.92</v>
      </c>
      <c r="G9" s="28">
        <f>SUM(F9:F9)</f>
        <v>1076.92</v>
      </c>
      <c r="H9" s="21">
        <f>(E9-G9)</f>
        <v>2000</v>
      </c>
      <c r="I9" s="21">
        <v>512.82000000000005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3076.92</v>
      </c>
      <c r="P9" s="21">
        <v>0</v>
      </c>
      <c r="Q9" s="21">
        <v>0</v>
      </c>
      <c r="R9" s="21">
        <v>3076.92</v>
      </c>
      <c r="S9" s="21">
        <v>0</v>
      </c>
      <c r="T9" s="21">
        <v>0</v>
      </c>
      <c r="U9" s="22">
        <v>0</v>
      </c>
      <c r="V9" s="21">
        <v>0</v>
      </c>
      <c r="W9" s="21">
        <v>176</v>
      </c>
      <c r="X9" s="21">
        <v>0</v>
      </c>
      <c r="Y9" s="21">
        <v>0</v>
      </c>
      <c r="Z9" s="6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29/09/25</oddHeader>
    <oddFooter>&amp;RPág.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98E7-521C-473D-8028-59AB4805F8E7}">
  <sheetPr>
    <pageSetUpPr fitToPage="1"/>
  </sheetPr>
  <dimension ref="A1:AK13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K12" sqref="K12"/>
    </sheetView>
  </sheetViews>
  <sheetFormatPr baseColWidth="10" defaultColWidth="9.1328125" defaultRowHeight="12" customHeight="1" x14ac:dyDescent="0.45"/>
  <cols>
    <col min="1" max="1" width="1.73046875" customWidth="1"/>
    <col min="2" max="2" width="12.73046875" customWidth="1"/>
    <col min="3" max="3" width="56.73046875" customWidth="1"/>
    <col min="4" max="37" width="14.73046875" customWidth="1"/>
  </cols>
  <sheetData>
    <row r="1" spans="1:37" ht="12" customHeight="1" x14ac:dyDescent="0.45">
      <c r="A1" s="1" t="s">
        <v>0</v>
      </c>
      <c r="B1" s="2"/>
      <c r="C1" s="2"/>
    </row>
    <row r="2" spans="1:37" ht="12" customHeight="1" x14ac:dyDescent="0.45">
      <c r="A2" s="1" t="s">
        <v>1</v>
      </c>
      <c r="B2" s="2"/>
      <c r="C2" s="2"/>
      <c r="D2" t="s">
        <v>31</v>
      </c>
    </row>
    <row r="3" spans="1:37" ht="12" customHeight="1" x14ac:dyDescent="0.45">
      <c r="A3" s="1" t="s">
        <v>2</v>
      </c>
      <c r="B3" s="2"/>
      <c r="C3" s="2"/>
    </row>
    <row r="4" spans="1:37" ht="12" customHeight="1" x14ac:dyDescent="0.45">
      <c r="A4" s="1" t="s">
        <v>3</v>
      </c>
      <c r="B4" s="2"/>
      <c r="C4" s="2"/>
    </row>
    <row r="5" spans="1:37" ht="12" customHeight="1" x14ac:dyDescent="0.45">
      <c r="A5" s="1"/>
      <c r="B5" s="2"/>
      <c r="C5" s="2"/>
    </row>
    <row r="6" spans="1:37" ht="12" customHeight="1" thickBot="1" x14ac:dyDescent="0.5">
      <c r="A6" s="1"/>
      <c r="B6" s="2"/>
      <c r="C6" s="4"/>
    </row>
    <row r="7" spans="1:37" ht="12" customHeight="1" thickTop="1" thickBot="1" x14ac:dyDescent="0.5">
      <c r="A7" s="15"/>
      <c r="B7" s="5"/>
      <c r="C7" s="7" t="s">
        <v>4</v>
      </c>
      <c r="D7" s="16" t="s">
        <v>8</v>
      </c>
      <c r="E7" s="19" t="s">
        <v>42</v>
      </c>
      <c r="F7" s="19" t="s">
        <v>43</v>
      </c>
      <c r="G7" s="19" t="s">
        <v>44</v>
      </c>
      <c r="H7" s="19" t="s">
        <v>45</v>
      </c>
      <c r="I7" s="19" t="s">
        <v>46</v>
      </c>
      <c r="J7" s="19" t="s">
        <v>47</v>
      </c>
      <c r="K7" s="19" t="s">
        <v>48</v>
      </c>
      <c r="L7" s="23" t="s">
        <v>9</v>
      </c>
      <c r="M7" s="19" t="s">
        <v>49</v>
      </c>
      <c r="N7" s="19" t="s">
        <v>50</v>
      </c>
      <c r="O7" s="19" t="s">
        <v>51</v>
      </c>
      <c r="P7" s="19" t="s">
        <v>52</v>
      </c>
      <c r="Q7" s="19" t="s">
        <v>10</v>
      </c>
      <c r="R7" s="26" t="s">
        <v>11</v>
      </c>
      <c r="S7" s="19" t="s">
        <v>12</v>
      </c>
      <c r="T7" s="19" t="s">
        <v>13</v>
      </c>
      <c r="U7" s="19" t="s">
        <v>14</v>
      </c>
      <c r="V7" s="19" t="s">
        <v>15</v>
      </c>
      <c r="W7" s="19" t="s">
        <v>16</v>
      </c>
      <c r="X7" s="19" t="s">
        <v>17</v>
      </c>
      <c r="Y7" s="19" t="s">
        <v>18</v>
      </c>
      <c r="Z7" s="19" t="s">
        <v>19</v>
      </c>
      <c r="AA7" s="19" t="s">
        <v>20</v>
      </c>
      <c r="AB7" s="19" t="s">
        <v>21</v>
      </c>
      <c r="AC7" s="19" t="s">
        <v>22</v>
      </c>
      <c r="AD7" s="19" t="s">
        <v>23</v>
      </c>
      <c r="AE7" s="19" t="s">
        <v>24</v>
      </c>
      <c r="AF7" s="19" t="s">
        <v>25</v>
      </c>
      <c r="AG7" s="19" t="s">
        <v>26</v>
      </c>
      <c r="AH7" s="19" t="s">
        <v>27</v>
      </c>
      <c r="AI7" s="19" t="s">
        <v>28</v>
      </c>
      <c r="AJ7" s="19" t="s">
        <v>29</v>
      </c>
      <c r="AK7" s="14" t="s">
        <v>30</v>
      </c>
    </row>
    <row r="8" spans="1:37" ht="12.95" customHeight="1" thickTop="1" x14ac:dyDescent="0.45">
      <c r="A8" s="10"/>
      <c r="B8" s="11"/>
      <c r="C8" s="8"/>
      <c r="D8" s="17"/>
      <c r="E8" s="20"/>
      <c r="F8" s="20"/>
      <c r="G8" s="20"/>
      <c r="H8" s="20"/>
      <c r="I8" s="20"/>
      <c r="J8" s="20"/>
      <c r="K8" s="20"/>
      <c r="L8" s="24"/>
      <c r="M8" s="20"/>
      <c r="N8" s="20"/>
      <c r="O8" s="20"/>
      <c r="P8" s="20"/>
      <c r="Q8" s="20"/>
      <c r="R8" s="27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3"/>
    </row>
    <row r="9" spans="1:37" ht="12.95" customHeight="1" x14ac:dyDescent="0.45">
      <c r="A9" s="31"/>
      <c r="B9" s="32" t="s">
        <v>32</v>
      </c>
      <c r="C9" s="29" t="s">
        <v>33</v>
      </c>
      <c r="D9" s="33">
        <v>1349.25</v>
      </c>
      <c r="E9" s="34">
        <v>224.88</v>
      </c>
      <c r="F9" s="34">
        <v>857.5</v>
      </c>
      <c r="G9" s="34"/>
      <c r="H9" s="34"/>
      <c r="I9" s="34">
        <v>241.56</v>
      </c>
      <c r="J9" s="34">
        <v>131.69</v>
      </c>
      <c r="K9" s="34">
        <v>95.1</v>
      </c>
      <c r="L9" s="36">
        <f>SUM(D9:K9)</f>
        <v>2899.98</v>
      </c>
      <c r="M9" s="34"/>
      <c r="N9" s="34">
        <v>135.47999999999999</v>
      </c>
      <c r="O9" s="34">
        <v>2.8</v>
      </c>
      <c r="P9" s="34">
        <v>44.88</v>
      </c>
      <c r="Q9" s="34">
        <v>435</v>
      </c>
      <c r="R9" s="37">
        <f>SUM(M9:Q9)</f>
        <v>618.16</v>
      </c>
      <c r="S9" s="34">
        <f>(L9-R9)</f>
        <v>2281.8200000000002</v>
      </c>
      <c r="T9" s="34">
        <v>0</v>
      </c>
      <c r="U9" s="34">
        <v>933.18</v>
      </c>
      <c r="V9" s="34">
        <v>183.16</v>
      </c>
      <c r="W9" s="34">
        <v>1116.3399999999999</v>
      </c>
      <c r="X9" s="34">
        <v>0</v>
      </c>
      <c r="Y9" s="34">
        <v>0</v>
      </c>
      <c r="Z9" s="34">
        <v>3833.16</v>
      </c>
      <c r="AA9" s="34">
        <v>2804.88</v>
      </c>
      <c r="AB9" s="34">
        <v>2804.88</v>
      </c>
      <c r="AC9" s="34">
        <v>2899.98</v>
      </c>
      <c r="AD9" s="34">
        <v>0</v>
      </c>
      <c r="AE9" s="34">
        <v>0</v>
      </c>
      <c r="AF9" s="35">
        <v>0</v>
      </c>
      <c r="AG9" s="34">
        <v>0</v>
      </c>
      <c r="AH9" s="34">
        <v>176</v>
      </c>
      <c r="AI9" s="34">
        <v>0</v>
      </c>
      <c r="AJ9" s="34">
        <v>0</v>
      </c>
      <c r="AK9" s="30">
        <v>30</v>
      </c>
    </row>
    <row r="10" spans="1:37" ht="12.95" customHeight="1" x14ac:dyDescent="0.45">
      <c r="A10" s="31"/>
      <c r="B10" s="32" t="s">
        <v>34</v>
      </c>
      <c r="C10" s="29" t="s">
        <v>35</v>
      </c>
      <c r="D10" s="33">
        <v>3478.09</v>
      </c>
      <c r="E10" s="34">
        <v>579.67999999999995</v>
      </c>
      <c r="F10" s="34">
        <v>1118.18</v>
      </c>
      <c r="G10" s="34"/>
      <c r="H10" s="34"/>
      <c r="I10" s="34">
        <v>499.82</v>
      </c>
      <c r="J10" s="34">
        <v>127.3</v>
      </c>
      <c r="K10" s="34">
        <v>196.91</v>
      </c>
      <c r="L10" s="36">
        <f>SUM(D10:K10)</f>
        <v>5999.98</v>
      </c>
      <c r="M10" s="34"/>
      <c r="N10" s="34">
        <v>238.55</v>
      </c>
      <c r="O10" s="34">
        <v>4.91</v>
      </c>
      <c r="P10" s="34">
        <v>78.55</v>
      </c>
      <c r="Q10" s="34">
        <v>1200</v>
      </c>
      <c r="R10" s="37">
        <f>SUM(M10:Q10)</f>
        <v>1522.01</v>
      </c>
      <c r="S10" s="34">
        <f>(L10-R10)</f>
        <v>4477.9699999999993</v>
      </c>
      <c r="T10" s="34">
        <v>0</v>
      </c>
      <c r="U10" s="34">
        <v>1640.53</v>
      </c>
      <c r="V10" s="34">
        <v>322.01</v>
      </c>
      <c r="W10" s="34">
        <v>1962.54</v>
      </c>
      <c r="X10" s="34">
        <v>0</v>
      </c>
      <c r="Y10" s="34">
        <v>0</v>
      </c>
      <c r="Z10" s="34">
        <v>7640.51</v>
      </c>
      <c r="AA10" s="34">
        <v>4909.5</v>
      </c>
      <c r="AB10" s="34">
        <v>4909.5</v>
      </c>
      <c r="AC10" s="34">
        <v>5999.98</v>
      </c>
      <c r="AD10" s="34">
        <v>0</v>
      </c>
      <c r="AE10" s="34">
        <v>0</v>
      </c>
      <c r="AF10" s="35">
        <v>0</v>
      </c>
      <c r="AG10" s="34">
        <v>0</v>
      </c>
      <c r="AH10" s="34">
        <v>168</v>
      </c>
      <c r="AI10" s="34">
        <v>0</v>
      </c>
      <c r="AJ10" s="34">
        <v>0</v>
      </c>
      <c r="AK10" s="30">
        <v>29</v>
      </c>
    </row>
    <row r="11" spans="1:37" ht="12.95" customHeight="1" x14ac:dyDescent="0.45">
      <c r="A11" s="31"/>
      <c r="B11" s="32" t="s">
        <v>36</v>
      </c>
      <c r="C11" s="29" t="s">
        <v>37</v>
      </c>
      <c r="D11" s="33">
        <v>1349.25</v>
      </c>
      <c r="E11" s="34">
        <v>221.8</v>
      </c>
      <c r="F11" s="34">
        <v>420.54</v>
      </c>
      <c r="G11" s="34"/>
      <c r="H11" s="34">
        <v>293.76</v>
      </c>
      <c r="I11" s="34">
        <v>199.92</v>
      </c>
      <c r="J11" s="34">
        <v>131.69</v>
      </c>
      <c r="K11" s="34">
        <v>76.8</v>
      </c>
      <c r="L11" s="36">
        <f>SUM(D11:K11)</f>
        <v>2693.76</v>
      </c>
      <c r="M11" s="34">
        <v>293.76</v>
      </c>
      <c r="N11" s="34">
        <v>126.4</v>
      </c>
      <c r="O11" s="34">
        <v>2.62</v>
      </c>
      <c r="P11" s="34">
        <v>41.87</v>
      </c>
      <c r="Q11" s="34">
        <v>269.38</v>
      </c>
      <c r="R11" s="37">
        <f>SUM(M11:Q11)</f>
        <v>734.03</v>
      </c>
      <c r="S11" s="34">
        <f>(L11-R11)</f>
        <v>1959.7300000000002</v>
      </c>
      <c r="T11" s="34">
        <v>0</v>
      </c>
      <c r="U11" s="34">
        <v>870.66</v>
      </c>
      <c r="V11" s="34">
        <v>170.89</v>
      </c>
      <c r="W11" s="34">
        <v>1041.55</v>
      </c>
      <c r="X11" s="34">
        <v>0</v>
      </c>
      <c r="Y11" s="34">
        <v>0</v>
      </c>
      <c r="Z11" s="34">
        <v>3564.42</v>
      </c>
      <c r="AA11" s="34">
        <v>2616.96</v>
      </c>
      <c r="AB11" s="34">
        <v>2616.96</v>
      </c>
      <c r="AC11" s="34">
        <v>2693.76</v>
      </c>
      <c r="AD11" s="34">
        <v>0</v>
      </c>
      <c r="AE11" s="34">
        <v>0</v>
      </c>
      <c r="AF11" s="35">
        <v>0</v>
      </c>
      <c r="AG11" s="34">
        <v>0</v>
      </c>
      <c r="AH11" s="34">
        <v>176</v>
      </c>
      <c r="AI11" s="34">
        <v>0</v>
      </c>
      <c r="AJ11" s="34">
        <v>0</v>
      </c>
      <c r="AK11" s="30">
        <v>30</v>
      </c>
    </row>
    <row r="12" spans="1:37" ht="12.95" customHeight="1" x14ac:dyDescent="0.45">
      <c r="A12" s="31"/>
      <c r="B12" s="32" t="s">
        <v>38</v>
      </c>
      <c r="C12" s="29" t="s">
        <v>39</v>
      </c>
      <c r="D12" s="33">
        <v>1349.25</v>
      </c>
      <c r="E12" s="34">
        <v>221.8</v>
      </c>
      <c r="F12" s="34">
        <v>108.35</v>
      </c>
      <c r="G12" s="34"/>
      <c r="H12" s="34"/>
      <c r="I12" s="34">
        <v>158.28</v>
      </c>
      <c r="J12" s="34"/>
      <c r="K12" s="34">
        <v>62.34</v>
      </c>
      <c r="L12" s="36">
        <f>SUM(D12:K12)</f>
        <v>1900.0199999999998</v>
      </c>
      <c r="M12" s="34"/>
      <c r="N12" s="34">
        <v>88.76</v>
      </c>
      <c r="O12" s="34">
        <v>1.84</v>
      </c>
      <c r="P12" s="34">
        <v>29.4</v>
      </c>
      <c r="Q12" s="34">
        <v>95</v>
      </c>
      <c r="R12" s="37">
        <f>SUM(M12:Q12)</f>
        <v>215</v>
      </c>
      <c r="S12" s="34">
        <f>(L12-R12)</f>
        <v>1685.0199999999998</v>
      </c>
      <c r="T12" s="34">
        <v>0</v>
      </c>
      <c r="U12" s="34">
        <v>611.39</v>
      </c>
      <c r="V12" s="34">
        <v>120</v>
      </c>
      <c r="W12" s="34">
        <v>731.39</v>
      </c>
      <c r="X12" s="34">
        <v>0</v>
      </c>
      <c r="Y12" s="34">
        <v>0</v>
      </c>
      <c r="Z12" s="34">
        <v>2511.41</v>
      </c>
      <c r="AA12" s="34">
        <v>1837.68</v>
      </c>
      <c r="AB12" s="34">
        <v>1837.68</v>
      </c>
      <c r="AC12" s="34">
        <v>1900.02</v>
      </c>
      <c r="AD12" s="34">
        <v>0</v>
      </c>
      <c r="AE12" s="34">
        <v>0</v>
      </c>
      <c r="AF12" s="35">
        <v>0</v>
      </c>
      <c r="AG12" s="34">
        <v>0</v>
      </c>
      <c r="AH12" s="34">
        <v>176</v>
      </c>
      <c r="AI12" s="34">
        <v>0</v>
      </c>
      <c r="AJ12" s="34">
        <v>0</v>
      </c>
      <c r="AK12" s="30">
        <v>30</v>
      </c>
    </row>
    <row r="13" spans="1:37" ht="12.95" customHeight="1" thickBot="1" x14ac:dyDescent="0.5">
      <c r="A13" s="12"/>
      <c r="B13" s="13" t="s">
        <v>40</v>
      </c>
      <c r="C13" s="9" t="s">
        <v>41</v>
      </c>
      <c r="D13" s="18">
        <v>2044.27</v>
      </c>
      <c r="E13" s="21">
        <v>340.72</v>
      </c>
      <c r="F13" s="21">
        <v>2180.54</v>
      </c>
      <c r="G13" s="21">
        <v>358.78</v>
      </c>
      <c r="H13" s="21"/>
      <c r="I13" s="21">
        <v>442.77</v>
      </c>
      <c r="J13" s="21">
        <v>131.69</v>
      </c>
      <c r="K13" s="21">
        <v>174.3</v>
      </c>
      <c r="L13" s="25">
        <f>SUM(D13:K13)</f>
        <v>5673.07</v>
      </c>
      <c r="M13" s="21"/>
      <c r="N13" s="21">
        <v>238.04</v>
      </c>
      <c r="O13" s="21">
        <v>4.91</v>
      </c>
      <c r="P13" s="21">
        <v>76.099999999999994</v>
      </c>
      <c r="Q13" s="21">
        <v>1134.6099999999999</v>
      </c>
      <c r="R13" s="28">
        <f>SUM(M13:Q13)</f>
        <v>1453.6599999999999</v>
      </c>
      <c r="S13" s="21">
        <f>(L13-R13)</f>
        <v>4219.41</v>
      </c>
      <c r="T13" s="21">
        <v>0</v>
      </c>
      <c r="U13" s="21">
        <v>1579.07</v>
      </c>
      <c r="V13" s="21">
        <v>319.05</v>
      </c>
      <c r="W13" s="21">
        <v>1898.12</v>
      </c>
      <c r="X13" s="21">
        <v>0</v>
      </c>
      <c r="Y13" s="21">
        <v>0</v>
      </c>
      <c r="Z13" s="21">
        <v>7252.14</v>
      </c>
      <c r="AA13" s="21">
        <v>4909.5</v>
      </c>
      <c r="AB13" s="21">
        <v>4909.5</v>
      </c>
      <c r="AC13" s="21">
        <v>5673.07</v>
      </c>
      <c r="AD13" s="21">
        <v>0</v>
      </c>
      <c r="AE13" s="21">
        <v>0</v>
      </c>
      <c r="AF13" s="22">
        <v>0</v>
      </c>
      <c r="AG13" s="21">
        <v>0</v>
      </c>
      <c r="AH13" s="21">
        <v>176</v>
      </c>
      <c r="AI13" s="21">
        <v>0</v>
      </c>
      <c r="AJ13" s="21">
        <v>0</v>
      </c>
      <c r="AK13" s="6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29/09/25</oddHeader>
    <oddFooter>&amp;RPág.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E803-E82B-49AA-AB5B-C24942A57C22}">
  <sheetPr>
    <pageSetUpPr fitToPage="1"/>
  </sheetPr>
  <dimension ref="A1:AJ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9.1328125" defaultRowHeight="12" customHeight="1" x14ac:dyDescent="0.45"/>
  <cols>
    <col min="1" max="1" width="1.73046875" customWidth="1"/>
    <col min="2" max="2" width="12.73046875" customWidth="1"/>
    <col min="3" max="3" width="56.73046875" customWidth="1"/>
    <col min="4" max="36" width="14.73046875" customWidth="1"/>
  </cols>
  <sheetData>
    <row r="1" spans="1:36" ht="12" customHeight="1" x14ac:dyDescent="0.45">
      <c r="A1" s="1" t="s">
        <v>0</v>
      </c>
      <c r="B1" s="2"/>
      <c r="C1" s="2"/>
    </row>
    <row r="2" spans="1:36" ht="12" customHeight="1" x14ac:dyDescent="0.45">
      <c r="A2" s="1" t="s">
        <v>1</v>
      </c>
      <c r="B2" s="2"/>
      <c r="C2" s="2"/>
      <c r="D2" t="s">
        <v>53</v>
      </c>
    </row>
    <row r="3" spans="1:36" ht="12" customHeight="1" x14ac:dyDescent="0.45">
      <c r="A3" s="1" t="s">
        <v>2</v>
      </c>
      <c r="B3" s="2"/>
      <c r="C3" s="2"/>
    </row>
    <row r="4" spans="1:36" ht="12" customHeight="1" x14ac:dyDescent="0.45">
      <c r="A4" s="1" t="s">
        <v>3</v>
      </c>
      <c r="B4" s="2"/>
      <c r="C4" s="2"/>
    </row>
    <row r="5" spans="1:36" ht="12" customHeight="1" x14ac:dyDescent="0.45">
      <c r="A5" s="1"/>
      <c r="B5" s="2"/>
      <c r="C5" s="2"/>
    </row>
    <row r="6" spans="1:36" ht="12" customHeight="1" thickBot="1" x14ac:dyDescent="0.5">
      <c r="A6" s="1"/>
      <c r="B6" s="2"/>
      <c r="C6" s="4"/>
    </row>
    <row r="7" spans="1:36" ht="12" customHeight="1" thickTop="1" thickBot="1" x14ac:dyDescent="0.5">
      <c r="A7" s="15"/>
      <c r="B7" s="5"/>
      <c r="C7" s="7" t="s">
        <v>4</v>
      </c>
      <c r="D7" s="16" t="s">
        <v>8</v>
      </c>
      <c r="E7" s="19" t="s">
        <v>42</v>
      </c>
      <c r="F7" s="19" t="s">
        <v>43</v>
      </c>
      <c r="G7" s="19" t="s">
        <v>44</v>
      </c>
      <c r="H7" s="19" t="s">
        <v>46</v>
      </c>
      <c r="I7" s="19" t="s">
        <v>47</v>
      </c>
      <c r="J7" s="19" t="s">
        <v>48</v>
      </c>
      <c r="K7" s="19" t="s">
        <v>62</v>
      </c>
      <c r="L7" s="23" t="s">
        <v>9</v>
      </c>
      <c r="M7" s="19" t="s">
        <v>50</v>
      </c>
      <c r="N7" s="19" t="s">
        <v>51</v>
      </c>
      <c r="O7" s="19" t="s">
        <v>52</v>
      </c>
      <c r="P7" s="19" t="s">
        <v>10</v>
      </c>
      <c r="Q7" s="26" t="s">
        <v>11</v>
      </c>
      <c r="R7" s="19" t="s">
        <v>12</v>
      </c>
      <c r="S7" s="19" t="s">
        <v>13</v>
      </c>
      <c r="T7" s="19" t="s">
        <v>14</v>
      </c>
      <c r="U7" s="19" t="s">
        <v>15</v>
      </c>
      <c r="V7" s="19" t="s">
        <v>16</v>
      </c>
      <c r="W7" s="19" t="s">
        <v>17</v>
      </c>
      <c r="X7" s="19" t="s">
        <v>18</v>
      </c>
      <c r="Y7" s="19" t="s">
        <v>19</v>
      </c>
      <c r="Z7" s="19" t="s">
        <v>20</v>
      </c>
      <c r="AA7" s="19" t="s">
        <v>21</v>
      </c>
      <c r="AB7" s="19" t="s">
        <v>22</v>
      </c>
      <c r="AC7" s="19" t="s">
        <v>23</v>
      </c>
      <c r="AD7" s="19" t="s">
        <v>24</v>
      </c>
      <c r="AE7" s="19" t="s">
        <v>25</v>
      </c>
      <c r="AF7" s="19" t="s">
        <v>26</v>
      </c>
      <c r="AG7" s="19" t="s">
        <v>27</v>
      </c>
      <c r="AH7" s="19" t="s">
        <v>28</v>
      </c>
      <c r="AI7" s="19" t="s">
        <v>29</v>
      </c>
      <c r="AJ7" s="14" t="s">
        <v>30</v>
      </c>
    </row>
    <row r="8" spans="1:36" ht="12.95" customHeight="1" thickTop="1" x14ac:dyDescent="0.45">
      <c r="A8" s="10"/>
      <c r="B8" s="11"/>
      <c r="C8" s="8"/>
      <c r="D8" s="17"/>
      <c r="E8" s="20"/>
      <c r="F8" s="20"/>
      <c r="G8" s="20"/>
      <c r="H8" s="20"/>
      <c r="I8" s="20"/>
      <c r="J8" s="20"/>
      <c r="K8" s="20"/>
      <c r="L8" s="24"/>
      <c r="M8" s="20"/>
      <c r="N8" s="20"/>
      <c r="O8" s="20"/>
      <c r="P8" s="20"/>
      <c r="Q8" s="27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3"/>
    </row>
    <row r="9" spans="1:36" ht="12.95" customHeight="1" x14ac:dyDescent="0.45">
      <c r="A9" s="31"/>
      <c r="B9" s="32" t="s">
        <v>54</v>
      </c>
      <c r="C9" s="29" t="s">
        <v>55</v>
      </c>
      <c r="D9" s="33">
        <v>1338.56</v>
      </c>
      <c r="E9" s="34">
        <v>223.1</v>
      </c>
      <c r="F9" s="34">
        <v>2792.18</v>
      </c>
      <c r="G9" s="34">
        <v>280.39999999999998</v>
      </c>
      <c r="H9" s="34"/>
      <c r="I9" s="34">
        <v>122.91</v>
      </c>
      <c r="J9" s="34">
        <v>151.82</v>
      </c>
      <c r="K9" s="34"/>
      <c r="L9" s="36">
        <f>SUM(D9:K9)</f>
        <v>4908.9699999999993</v>
      </c>
      <c r="M9" s="34">
        <v>229.77</v>
      </c>
      <c r="N9" s="34">
        <v>4.76</v>
      </c>
      <c r="O9" s="34">
        <v>76.11</v>
      </c>
      <c r="P9" s="34">
        <v>736.35</v>
      </c>
      <c r="Q9" s="37">
        <f>SUM(M9:P9)</f>
        <v>1046.99</v>
      </c>
      <c r="R9" s="34">
        <f>(L9-Q9)</f>
        <v>3861.9799999999996</v>
      </c>
      <c r="S9" s="34">
        <v>0</v>
      </c>
      <c r="T9" s="34">
        <v>1582.7</v>
      </c>
      <c r="U9" s="34">
        <v>310.64</v>
      </c>
      <c r="V9" s="34">
        <v>1893.34</v>
      </c>
      <c r="W9" s="34">
        <v>0</v>
      </c>
      <c r="X9" s="34">
        <v>0</v>
      </c>
      <c r="Y9" s="34">
        <v>6491.66</v>
      </c>
      <c r="Z9" s="34">
        <v>4757.1499999999996</v>
      </c>
      <c r="AA9" s="34">
        <v>4757.1499999999996</v>
      </c>
      <c r="AB9" s="34">
        <v>4908.97</v>
      </c>
      <c r="AC9" s="34">
        <v>0</v>
      </c>
      <c r="AD9" s="34">
        <v>0</v>
      </c>
      <c r="AE9" s="35">
        <v>0</v>
      </c>
      <c r="AF9" s="34">
        <v>0</v>
      </c>
      <c r="AG9" s="34">
        <v>160</v>
      </c>
      <c r="AH9" s="34">
        <v>0</v>
      </c>
      <c r="AI9" s="34">
        <v>0</v>
      </c>
      <c r="AJ9" s="30">
        <v>28</v>
      </c>
    </row>
    <row r="10" spans="1:36" ht="12.95" customHeight="1" x14ac:dyDescent="0.45">
      <c r="A10" s="31"/>
      <c r="B10" s="32" t="s">
        <v>56</v>
      </c>
      <c r="C10" s="29" t="s">
        <v>57</v>
      </c>
      <c r="D10" s="33">
        <v>950.83</v>
      </c>
      <c r="E10" s="34">
        <v>158.47999999999999</v>
      </c>
      <c r="F10" s="34">
        <v>1472.17</v>
      </c>
      <c r="G10" s="34"/>
      <c r="H10" s="34">
        <v>249.89</v>
      </c>
      <c r="I10" s="34">
        <v>70.23</v>
      </c>
      <c r="J10" s="34">
        <v>98.4</v>
      </c>
      <c r="K10" s="34"/>
      <c r="L10" s="36">
        <f>SUM(D10:K10)</f>
        <v>3000</v>
      </c>
      <c r="M10" s="34">
        <v>140.15</v>
      </c>
      <c r="N10" s="34">
        <v>2.9</v>
      </c>
      <c r="O10" s="34">
        <v>46.43</v>
      </c>
      <c r="P10" s="34">
        <v>360</v>
      </c>
      <c r="Q10" s="37">
        <f>SUM(M10:P10)</f>
        <v>549.48</v>
      </c>
      <c r="R10" s="34">
        <f>(L10-Q10)</f>
        <v>2450.52</v>
      </c>
      <c r="S10" s="34">
        <v>0</v>
      </c>
      <c r="T10" s="34">
        <v>965.36</v>
      </c>
      <c r="U10" s="34">
        <v>189.48</v>
      </c>
      <c r="V10" s="34">
        <v>1154.8399999999999</v>
      </c>
      <c r="W10" s="34">
        <v>0</v>
      </c>
      <c r="X10" s="34">
        <v>0</v>
      </c>
      <c r="Y10" s="34">
        <v>3965.35</v>
      </c>
      <c r="Z10" s="34">
        <v>2901.6</v>
      </c>
      <c r="AA10" s="34">
        <v>2901.6</v>
      </c>
      <c r="AB10" s="34">
        <v>3000</v>
      </c>
      <c r="AC10" s="34">
        <v>0</v>
      </c>
      <c r="AD10" s="34">
        <v>0</v>
      </c>
      <c r="AE10" s="35">
        <v>0</v>
      </c>
      <c r="AF10" s="34">
        <v>0</v>
      </c>
      <c r="AG10" s="34">
        <v>96</v>
      </c>
      <c r="AH10" s="34">
        <v>0</v>
      </c>
      <c r="AI10" s="34">
        <v>0</v>
      </c>
      <c r="AJ10" s="30">
        <v>16</v>
      </c>
    </row>
    <row r="11" spans="1:36" ht="12.95" customHeight="1" x14ac:dyDescent="0.45">
      <c r="A11" s="31"/>
      <c r="B11" s="32" t="s">
        <v>58</v>
      </c>
      <c r="C11" s="29" t="s">
        <v>59</v>
      </c>
      <c r="D11" s="33">
        <v>1259.3</v>
      </c>
      <c r="E11" s="34">
        <v>209.88</v>
      </c>
      <c r="F11" s="34">
        <v>1135.3900000000001</v>
      </c>
      <c r="G11" s="34">
        <v>280.39999999999998</v>
      </c>
      <c r="H11" s="34">
        <v>257.01</v>
      </c>
      <c r="I11" s="34">
        <v>122.91</v>
      </c>
      <c r="J11" s="34">
        <v>101.19</v>
      </c>
      <c r="K11" s="34"/>
      <c r="L11" s="36">
        <f>SUM(D11:K11)</f>
        <v>3366.0799999999995</v>
      </c>
      <c r="M11" s="34">
        <v>157.69</v>
      </c>
      <c r="N11" s="34">
        <v>3.26</v>
      </c>
      <c r="O11" s="34">
        <v>52.24</v>
      </c>
      <c r="P11" s="34">
        <v>336.61</v>
      </c>
      <c r="Q11" s="37">
        <f>SUM(M11:P11)</f>
        <v>549.79999999999995</v>
      </c>
      <c r="R11" s="34">
        <f>(L11-Q11)</f>
        <v>2816.2799999999997</v>
      </c>
      <c r="S11" s="34">
        <v>0</v>
      </c>
      <c r="T11" s="34">
        <v>1086.22</v>
      </c>
      <c r="U11" s="34">
        <v>213.19</v>
      </c>
      <c r="V11" s="34">
        <v>1299.4100000000001</v>
      </c>
      <c r="W11" s="34">
        <v>0</v>
      </c>
      <c r="X11" s="34">
        <v>0</v>
      </c>
      <c r="Y11" s="34">
        <v>4452.3</v>
      </c>
      <c r="Z11" s="34">
        <v>3264.89</v>
      </c>
      <c r="AA11" s="34">
        <v>3264.89</v>
      </c>
      <c r="AB11" s="34">
        <v>3366.08</v>
      </c>
      <c r="AC11" s="34">
        <v>0</v>
      </c>
      <c r="AD11" s="34">
        <v>0</v>
      </c>
      <c r="AE11" s="35">
        <v>0</v>
      </c>
      <c r="AF11" s="34">
        <v>0</v>
      </c>
      <c r="AG11" s="34">
        <v>160</v>
      </c>
      <c r="AH11" s="34">
        <v>0</v>
      </c>
      <c r="AI11" s="34">
        <v>0</v>
      </c>
      <c r="AJ11" s="30">
        <v>28</v>
      </c>
    </row>
    <row r="12" spans="1:36" ht="12.95" customHeight="1" thickBot="1" x14ac:dyDescent="0.5">
      <c r="A12" s="12"/>
      <c r="B12" s="13" t="s">
        <v>60</v>
      </c>
      <c r="C12" s="9" t="s">
        <v>61</v>
      </c>
      <c r="D12" s="18">
        <v>1349.25</v>
      </c>
      <c r="E12" s="21">
        <v>221.8</v>
      </c>
      <c r="F12" s="21">
        <v>1592.97</v>
      </c>
      <c r="G12" s="21">
        <v>701</v>
      </c>
      <c r="H12" s="21">
        <v>310.56</v>
      </c>
      <c r="I12" s="21">
        <v>131.69</v>
      </c>
      <c r="J12" s="21">
        <v>122.28</v>
      </c>
      <c r="K12" s="21">
        <v>200</v>
      </c>
      <c r="L12" s="25">
        <f>SUM(D12:K12)</f>
        <v>4629.5499999999993</v>
      </c>
      <c r="M12" s="21">
        <v>208.04</v>
      </c>
      <c r="N12" s="21">
        <v>4.3099999999999996</v>
      </c>
      <c r="O12" s="21">
        <v>68.92</v>
      </c>
      <c r="P12" s="21">
        <v>885.91</v>
      </c>
      <c r="Q12" s="28">
        <f>SUM(M12:P12)</f>
        <v>1167.1799999999998</v>
      </c>
      <c r="R12" s="21">
        <f>(L12-Q12)</f>
        <v>3462.3699999999994</v>
      </c>
      <c r="S12" s="21">
        <v>0</v>
      </c>
      <c r="T12" s="21">
        <v>1433.03</v>
      </c>
      <c r="U12" s="21">
        <v>281.27</v>
      </c>
      <c r="V12" s="21">
        <v>1714.3</v>
      </c>
      <c r="W12" s="21">
        <v>0</v>
      </c>
      <c r="X12" s="21">
        <v>0</v>
      </c>
      <c r="Y12" s="21">
        <v>6062.57</v>
      </c>
      <c r="Z12" s="21">
        <v>4307.2700000000004</v>
      </c>
      <c r="AA12" s="21">
        <v>4307.2700000000004</v>
      </c>
      <c r="AB12" s="21">
        <v>4429.55</v>
      </c>
      <c r="AC12" s="21">
        <v>0</v>
      </c>
      <c r="AD12" s="21">
        <v>0</v>
      </c>
      <c r="AE12" s="22">
        <v>0</v>
      </c>
      <c r="AF12" s="21">
        <v>0</v>
      </c>
      <c r="AG12" s="21">
        <v>176</v>
      </c>
      <c r="AH12" s="21">
        <v>0</v>
      </c>
      <c r="AI12" s="21">
        <v>0</v>
      </c>
      <c r="AJ12" s="6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29/09/25</oddHeader>
    <oddFooter>&amp;RPág.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BEFF-4084-4966-AB64-B50BCF5FF0CB}">
  <sheetPr>
    <pageSetUpPr fitToPage="1"/>
  </sheetPr>
  <dimension ref="A1:AJ9"/>
  <sheetViews>
    <sheetView tabSelected="1" workbookViewId="0">
      <pane xSplit="3" ySplit="7" topLeftCell="F8" activePane="bottomRight" state="frozen"/>
      <selection pane="topRight" activeCell="D1" sqref="D1"/>
      <selection pane="bottomLeft" activeCell="A8" sqref="A8"/>
      <selection pane="bottomRight" activeCell="C22" sqref="C22"/>
    </sheetView>
  </sheetViews>
  <sheetFormatPr baseColWidth="10" defaultColWidth="9.1328125" defaultRowHeight="12" customHeight="1" x14ac:dyDescent="0.45"/>
  <cols>
    <col min="1" max="1" width="1.73046875" customWidth="1"/>
    <col min="2" max="2" width="12.73046875" customWidth="1"/>
    <col min="3" max="3" width="56.73046875" customWidth="1"/>
    <col min="4" max="36" width="14.73046875" customWidth="1"/>
  </cols>
  <sheetData>
    <row r="1" spans="1:36" ht="12" customHeight="1" x14ac:dyDescent="0.45">
      <c r="A1" s="1" t="s">
        <v>0</v>
      </c>
      <c r="B1" s="2"/>
      <c r="C1" s="2"/>
    </row>
    <row r="2" spans="1:36" ht="12" customHeight="1" x14ac:dyDescent="0.45">
      <c r="A2" s="1" t="s">
        <v>1</v>
      </c>
      <c r="B2" s="2"/>
      <c r="C2" s="2"/>
      <c r="D2" t="s">
        <v>63</v>
      </c>
    </row>
    <row r="3" spans="1:36" ht="12" customHeight="1" x14ac:dyDescent="0.45">
      <c r="A3" s="1" t="s">
        <v>2</v>
      </c>
      <c r="B3" s="2"/>
      <c r="C3" s="2"/>
    </row>
    <row r="4" spans="1:36" ht="12" customHeight="1" x14ac:dyDescent="0.45">
      <c r="A4" s="1" t="s">
        <v>3</v>
      </c>
      <c r="B4" s="2"/>
      <c r="C4" s="2"/>
    </row>
    <row r="5" spans="1:36" ht="12" customHeight="1" x14ac:dyDescent="0.45">
      <c r="A5" s="1"/>
      <c r="B5" s="2"/>
      <c r="C5" s="2"/>
    </row>
    <row r="6" spans="1:36" ht="12" customHeight="1" thickBot="1" x14ac:dyDescent="0.5">
      <c r="A6" s="1"/>
      <c r="B6" s="2"/>
      <c r="C6" s="4"/>
    </row>
    <row r="7" spans="1:36" ht="12" customHeight="1" thickTop="1" thickBot="1" x14ac:dyDescent="0.5">
      <c r="A7" s="15"/>
      <c r="B7" s="5"/>
      <c r="C7" s="7" t="s">
        <v>4</v>
      </c>
      <c r="D7" s="16" t="s">
        <v>8</v>
      </c>
      <c r="E7" s="19" t="s">
        <v>42</v>
      </c>
      <c r="F7" s="19" t="s">
        <v>43</v>
      </c>
      <c r="G7" s="19" t="s">
        <v>44</v>
      </c>
      <c r="H7" s="19" t="s">
        <v>46</v>
      </c>
      <c r="I7" s="19" t="s">
        <v>47</v>
      </c>
      <c r="J7" s="19" t="s">
        <v>48</v>
      </c>
      <c r="K7" s="19" t="s">
        <v>62</v>
      </c>
      <c r="L7" s="23" t="s">
        <v>9</v>
      </c>
      <c r="M7" s="19" t="s">
        <v>50</v>
      </c>
      <c r="N7" s="19" t="s">
        <v>51</v>
      </c>
      <c r="O7" s="19" t="s">
        <v>52</v>
      </c>
      <c r="P7" s="19" t="s">
        <v>10</v>
      </c>
      <c r="Q7" s="26" t="s">
        <v>11</v>
      </c>
      <c r="R7" s="19" t="s">
        <v>12</v>
      </c>
      <c r="S7" s="19" t="s">
        <v>13</v>
      </c>
      <c r="T7" s="19" t="s">
        <v>14</v>
      </c>
      <c r="U7" s="19" t="s">
        <v>15</v>
      </c>
      <c r="V7" s="19" t="s">
        <v>16</v>
      </c>
      <c r="W7" s="19" t="s">
        <v>17</v>
      </c>
      <c r="X7" s="19" t="s">
        <v>18</v>
      </c>
      <c r="Y7" s="19" t="s">
        <v>19</v>
      </c>
      <c r="Z7" s="19" t="s">
        <v>20</v>
      </c>
      <c r="AA7" s="19" t="s">
        <v>21</v>
      </c>
      <c r="AB7" s="19" t="s">
        <v>22</v>
      </c>
      <c r="AC7" s="19" t="s">
        <v>23</v>
      </c>
      <c r="AD7" s="19" t="s">
        <v>24</v>
      </c>
      <c r="AE7" s="19" t="s">
        <v>25</v>
      </c>
      <c r="AF7" s="19" t="s">
        <v>26</v>
      </c>
      <c r="AG7" s="19" t="s">
        <v>27</v>
      </c>
      <c r="AH7" s="19" t="s">
        <v>28</v>
      </c>
      <c r="AI7" s="19" t="s">
        <v>29</v>
      </c>
      <c r="AJ7" s="14" t="s">
        <v>30</v>
      </c>
    </row>
    <row r="8" spans="1:36" ht="12.95" customHeight="1" thickTop="1" x14ac:dyDescent="0.45">
      <c r="A8" s="10"/>
      <c r="B8" s="11"/>
      <c r="C8" s="8"/>
      <c r="D8" s="17"/>
      <c r="E8" s="20"/>
      <c r="F8" s="20"/>
      <c r="G8" s="20"/>
      <c r="H8" s="20"/>
      <c r="I8" s="20"/>
      <c r="J8" s="20"/>
      <c r="K8" s="20"/>
      <c r="L8" s="24"/>
      <c r="M8" s="20"/>
      <c r="N8" s="20"/>
      <c r="O8" s="20"/>
      <c r="P8" s="20"/>
      <c r="Q8" s="27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3"/>
    </row>
    <row r="9" spans="1:36" ht="12.95" customHeight="1" thickBot="1" x14ac:dyDescent="0.5">
      <c r="A9" s="12"/>
      <c r="B9" s="13" t="s">
        <v>64</v>
      </c>
      <c r="C9" s="9" t="s">
        <v>65</v>
      </c>
      <c r="D9" s="18">
        <v>407.04</v>
      </c>
      <c r="E9" s="21">
        <v>67.84</v>
      </c>
      <c r="F9" s="21">
        <v>241.32</v>
      </c>
      <c r="G9" s="21">
        <v>84.12</v>
      </c>
      <c r="H9" s="21">
        <v>70.8</v>
      </c>
      <c r="I9" s="21">
        <v>35.119999999999997</v>
      </c>
      <c r="J9" s="21">
        <v>27.88</v>
      </c>
      <c r="K9" s="21">
        <v>100</v>
      </c>
      <c r="L9" s="25">
        <f>SUM(D9:K9)</f>
        <v>1034.1199999999999</v>
      </c>
      <c r="M9" s="21">
        <v>43.77</v>
      </c>
      <c r="N9" s="21">
        <v>0.91</v>
      </c>
      <c r="O9" s="21">
        <v>14.5</v>
      </c>
      <c r="P9" s="21">
        <v>233.53</v>
      </c>
      <c r="Q9" s="28">
        <f>SUM(M9:P9)</f>
        <v>292.70999999999998</v>
      </c>
      <c r="R9" s="21">
        <f>(L9-Q9)</f>
        <v>741.40999999999985</v>
      </c>
      <c r="S9" s="21">
        <v>0</v>
      </c>
      <c r="T9" s="21">
        <v>301.5</v>
      </c>
      <c r="U9" s="21">
        <v>59.18</v>
      </c>
      <c r="V9" s="21">
        <v>360.68</v>
      </c>
      <c r="W9" s="21">
        <v>0</v>
      </c>
      <c r="X9" s="21">
        <v>0</v>
      </c>
      <c r="Y9" s="21">
        <v>1335.62</v>
      </c>
      <c r="Z9" s="21">
        <v>906.24</v>
      </c>
      <c r="AA9" s="21">
        <v>906.24</v>
      </c>
      <c r="AB9" s="21">
        <v>934.12</v>
      </c>
      <c r="AC9" s="21">
        <v>0</v>
      </c>
      <c r="AD9" s="21">
        <v>0</v>
      </c>
      <c r="AE9" s="22">
        <v>0</v>
      </c>
      <c r="AF9" s="21">
        <v>0</v>
      </c>
      <c r="AG9" s="21">
        <v>48</v>
      </c>
      <c r="AH9" s="21">
        <v>0</v>
      </c>
      <c r="AI9" s="21">
        <v>0</v>
      </c>
      <c r="AJ9" s="6">
        <v>8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29/09/25</oddHeader>
    <oddFooter>&amp;RPág.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1</vt:lpstr>
      <vt:lpstr>3</vt:lpstr>
      <vt:lpstr>5</vt:lpstr>
      <vt:lpstr>7</vt:lpstr>
      <vt:lpstr>'1'!Área_de_impresión</vt:lpstr>
      <vt:lpstr>'3'!Área_de_impresión</vt:lpstr>
      <vt:lpstr>'5'!Área_de_impresión</vt:lpstr>
      <vt:lpstr>'7'!Área_de_impresión</vt:lpstr>
      <vt:lpstr>'1'!Títulos_a_imprimir</vt:lpstr>
      <vt:lpstr>'3'!Títulos_a_imprimir</vt:lpstr>
      <vt:lpstr>'5'!Títulos_a_imprimir</vt:lpstr>
      <vt:lpstr>'7'!Títulos_a_imprimir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Técnico Laboral</dc:creator>
  <cp:keywords/>
  <dc:description/>
  <cp:lastModifiedBy>Susana Cárdenas</cp:lastModifiedBy>
  <dcterms:created xsi:type="dcterms:W3CDTF">2025-09-29T15:34:07Z</dcterms:created>
  <dcterms:modified xsi:type="dcterms:W3CDTF">2025-10-27T18:02:51Z</dcterms:modified>
  <cp:category/>
</cp:coreProperties>
</file>